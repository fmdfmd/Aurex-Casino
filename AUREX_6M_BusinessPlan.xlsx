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Разовые" sheetId="2" state="visible" r:id="rId2"/>
    <sheet xmlns:r="http://schemas.openxmlformats.org/officeDocument/2006/relationships" name="Ежемесячные" sheetId="3" state="visible" r:id="rId3"/>
    <sheet xmlns:r="http://schemas.openxmlformats.org/officeDocument/2006/relationships" name="Денпоток 6м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FFFFFF"/>
    </font>
    <font>
      <b val="1"/>
      <color rgb="00111827"/>
    </font>
    <font>
      <b val="1"/>
    </font>
    <font>
      <b val="1"/>
      <sz val="14"/>
    </font>
    <font>
      <b val="1"/>
      <color rgb="00FFFFFF"/>
      <sz val="14"/>
    </font>
    <font>
      <b val="1"/>
      <color rgb="00FFFFFF"/>
      <sz val="13"/>
    </font>
    <font>
      <b val="1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C2626"/>
      </patternFill>
    </fill>
    <fill>
      <patternFill patternType="solid">
        <fgColor rgb="00E5E7EB"/>
      </patternFill>
    </fill>
    <fill>
      <patternFill patternType="solid">
        <fgColor rgb="00059669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8" fillId="6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9" fillId="8" borderId="0" pivotButton="0" quotePrefix="0" xfId="0"/>
    <xf numFmtId="0" fontId="9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42" customWidth="1" min="4" max="4"/>
    <col width="14" customWidth="1" min="5" max="5"/>
    <col width="14" customWidth="1" min="6" max="6"/>
  </cols>
  <sheetData>
    <row r="1">
      <c r="A1" s="1" t="inlineStr">
        <is>
          <t>AUREX Casino — Бизнес‑план на 6 месяцев (редактируемый)</t>
        </is>
      </c>
    </row>
    <row r="2">
      <c r="A2" t="inlineStr">
        <is>
          <t>Обновлено:</t>
        </is>
      </c>
      <c r="B2" t="inlineStr">
        <is>
          <t>2026-02-11</t>
        </is>
      </c>
    </row>
    <row r="4">
      <c r="A4" s="2" t="inlineStr">
        <is>
          <t>Курсы валют (редактируемые)</t>
        </is>
      </c>
      <c r="B4" s="2" t="inlineStr">
        <is>
          <t>Значение</t>
        </is>
      </c>
      <c r="C4" s="2" t="inlineStr">
        <is>
          <t>Комментарий</t>
        </is>
      </c>
    </row>
    <row r="5">
      <c r="A5" s="3" t="inlineStr">
        <is>
          <t>Курс EUR→RUB</t>
        </is>
      </c>
      <c r="B5" s="3" t="n">
        <v>91.94289999999999</v>
      </c>
      <c r="C5" s="3" t="inlineStr">
        <is>
          <t>Авто (ЦБ РФ):</t>
        </is>
      </c>
      <c r="D5">
        <f>IFERROR(VALUE(SUBSTITUTE(FILTERXML(WEBSERVICE("https://www.cbr.ru/scripts/XML_daily.asp"),"//Valute[CharCode='EUR']/Value"),",",".")),"")</f>
        <v/>
      </c>
    </row>
    <row r="6">
      <c r="A6" s="3" t="inlineStr">
        <is>
          <t>Курс USD→RUB</t>
        </is>
      </c>
      <c r="B6" s="3" t="n">
        <v>77.20910000000001</v>
      </c>
      <c r="C6" s="3" t="inlineStr">
        <is>
          <t>Авто (ЦБ РФ):</t>
        </is>
      </c>
      <c r="D6">
        <f>IFERROR(VALUE(SUBSTITUTE(FILTERXML(WEBSERVICE("https://www.cbr.ru/scripts/XML_daily.asp"),"//Valute[CharCode='USD']/Value"),",",".")),"")</f>
        <v/>
      </c>
    </row>
    <row r="8">
      <c r="A8" s="2" t="inlineStr">
        <is>
          <t>Коммерческие условия (редактируемые)</t>
        </is>
      </c>
      <c r="B8" s="2" t="inlineStr">
        <is>
          <t>Значение</t>
        </is>
      </c>
      <c r="C8" s="2" t="inlineStr">
        <is>
          <t>Ед.</t>
        </is>
      </c>
      <c r="D8" s="2" t="inlineStr">
        <is>
          <t>Комментарий</t>
        </is>
      </c>
    </row>
    <row r="9">
      <c r="A9" s="3" t="inlineStr">
        <is>
          <t>SoftGamings: минимум в месяц (с M4)</t>
        </is>
      </c>
      <c r="B9" s="3" t="n">
        <v>4000</v>
      </c>
      <c r="C9" s="3" t="inlineStr">
        <is>
          <t>EUR</t>
        </is>
      </c>
      <c r="D9" s="3" t="inlineStr">
        <is>
          <t>Если GGR*% &lt; €4k, доплачиваешь до €4k</t>
        </is>
      </c>
    </row>
    <row r="10">
      <c r="A10" s="3" t="inlineStr">
        <is>
          <t>SoftGamings: депозит на старте (ЗАЧИТЫВАЕТСЯ в M4!)</t>
        </is>
      </c>
      <c r="B10" s="3" t="n">
        <v>4000</v>
      </c>
      <c r="C10" s="3" t="inlineStr">
        <is>
          <t>EUR</t>
        </is>
      </c>
      <c r="D10" s="3" t="inlineStr">
        <is>
          <t>Платишь €4k на старте, потом вычитается из минимума M4</t>
        </is>
      </c>
    </row>
    <row r="11">
      <c r="A11" s="3" t="inlineStr">
        <is>
          <t>SoftGamings: credits before live</t>
        </is>
      </c>
      <c r="B11" s="3" t="n">
        <v>5000</v>
      </c>
      <c r="C11" s="3" t="inlineStr">
        <is>
          <t>EUR</t>
        </is>
      </c>
      <c r="D11" s="3" t="inlineStr">
        <is>
          <t>Top up as needed</t>
        </is>
      </c>
    </row>
    <row r="12">
      <c r="A12" s="3" t="inlineStr">
        <is>
          <t>SoftGamings: blended GGR fee (avg)</t>
        </is>
      </c>
      <c r="B12" s="3" t="n">
        <v>0.105</v>
      </c>
      <c r="C12" s="3" t="inlineStr">
        <is>
          <t>доля</t>
        </is>
      </c>
      <c r="D12" s="3" t="inlineStr">
        <is>
          <t>Use 0.10–0.12 if unsure</t>
        </is>
      </c>
    </row>
    <row r="13">
      <c r="A13" s="3" t="inlineStr">
        <is>
          <t>Payments RU: SBP/P2P deposit fee</t>
        </is>
      </c>
      <c r="B13" s="3" t="n">
        <v>0.125</v>
      </c>
      <c r="C13" s="3" t="inlineStr">
        <is>
          <t>доля</t>
        </is>
      </c>
      <c r="D13" s="3" t="inlineStr">
        <is>
          <t>12–13%</t>
        </is>
      </c>
    </row>
    <row r="14">
      <c r="A14" s="3" t="inlineStr">
        <is>
          <t>Payments RU: withdrawal fee</t>
        </is>
      </c>
      <c r="B14" s="3" t="n">
        <v>0.04</v>
      </c>
      <c r="C14" s="3" t="inlineStr">
        <is>
          <t>доля</t>
        </is>
      </c>
      <c r="D14" s="3" t="inlineStr">
        <is>
          <t>~4%</t>
        </is>
      </c>
    </row>
    <row r="15">
      <c r="A15" s="3" t="inlineStr">
        <is>
          <t>Crypto deposit fee (no exchange)</t>
        </is>
      </c>
      <c r="B15" s="3" t="n">
        <v>0.008</v>
      </c>
      <c r="C15" s="3" t="inlineStr">
        <is>
          <t>доля</t>
        </is>
      </c>
      <c r="D15" s="3" t="inlineStr">
        <is>
          <t>0.8%</t>
        </is>
      </c>
    </row>
    <row r="16">
      <c r="A16" s="3" t="inlineStr">
        <is>
          <t>Crypto withdrawal fee (no exchange)</t>
        </is>
      </c>
      <c r="B16" s="3" t="n">
        <v>0.005</v>
      </c>
      <c r="C16" s="3" t="inlineStr">
        <is>
          <t>доля</t>
        </is>
      </c>
      <c r="D16" s="3" t="inlineStr">
        <is>
          <t>0.5%</t>
        </is>
      </c>
    </row>
    <row r="17">
      <c r="A17" s="3" t="inlineStr">
        <is>
          <t>Crypto swap fee (manual)</t>
        </is>
      </c>
      <c r="B17" s="3" t="n">
        <v>0.002</v>
      </c>
      <c r="C17" s="3" t="inlineStr">
        <is>
          <t>доля</t>
        </is>
      </c>
      <c r="D17" s="3" t="inlineStr">
        <is>
          <t>0.2%</t>
        </is>
      </c>
    </row>
    <row r="18">
      <c r="A18" t="inlineStr">
        <is>
          <t>Fiat settlement off-ramp</t>
        </is>
      </c>
      <c r="B18" t="n">
        <v>0.01</v>
      </c>
      <c r="C18" t="inlineStr">
        <is>
          <t>доля</t>
        </is>
      </c>
      <c r="D18" t="inlineStr">
        <is>
          <t>1%</t>
        </is>
      </c>
    </row>
    <row r="19">
      <c r="A19" s="2" t="n"/>
      <c r="B19" s="2" t="n"/>
      <c r="C19" s="2" t="n"/>
      <c r="D19" s="2" t="n"/>
    </row>
    <row r="20">
      <c r="A20" s="3" t="inlineStr">
        <is>
          <t>Бизнес‑допущения (редактируемые)</t>
        </is>
      </c>
      <c r="B20" s="3" t="inlineStr">
        <is>
          <t>Значение</t>
        </is>
      </c>
      <c r="C20" s="3" t="inlineStr">
        <is>
          <t>Ед.</t>
        </is>
      </c>
      <c r="D20" s="3" t="inlineStr">
        <is>
          <t>Комментарий</t>
        </is>
      </c>
      <c r="E20" s="3" t="n"/>
      <c r="F20" s="3" t="n"/>
    </row>
    <row r="21">
      <c r="A21" s="3" t="inlineStr">
        <is>
          <t>GGR (base scenario) per month</t>
        </is>
      </c>
      <c r="B21" s="3" t="n"/>
      <c r="C21" s="3" t="inlineStr">
        <is>
          <t>EUR</t>
        </is>
      </c>
      <c r="D21" s="3" t="inlineStr">
        <is>
          <t>Fill in row below</t>
        </is>
      </c>
      <c r="E21" s="3" t="n"/>
      <c r="F21" s="3" t="n"/>
    </row>
    <row r="22">
      <c r="A22" s="3" t="inlineStr">
        <is>
          <t>GGR — M1..M6</t>
        </is>
      </c>
      <c r="B22" s="3" t="n">
        <v>0</v>
      </c>
      <c r="C22" s="3" t="n">
        <v>10000</v>
      </c>
      <c r="D22" s="3" t="n">
        <v>20000</v>
      </c>
      <c r="E22" s="3" t="n">
        <v>30000</v>
      </c>
      <c r="F22" s="3" t="n">
        <v>40000</v>
      </c>
    </row>
    <row r="23">
      <c r="A23" s="3" t="n"/>
      <c r="B23" s="3" t="inlineStr">
        <is>
          <t>(M1)</t>
        </is>
      </c>
      <c r="C23" s="3" t="inlineStr">
        <is>
          <t>(M2)</t>
        </is>
      </c>
      <c r="D23" s="3" t="inlineStr">
        <is>
          <t>(M3)</t>
        </is>
      </c>
      <c r="E23" s="3" t="inlineStr">
        <is>
          <t>(M4)</t>
        </is>
      </c>
      <c r="F23" s="3" t="inlineStr">
        <is>
          <t>(M5)</t>
        </is>
      </c>
    </row>
    <row r="24">
      <c r="A24" s="3" t="inlineStr">
        <is>
          <t>GGR — M6</t>
        </is>
      </c>
      <c r="B24" s="3" t="n">
        <v>50000</v>
      </c>
      <c r="C24" s="3" t="inlineStr">
        <is>
          <t>EUR</t>
        </is>
      </c>
      <c r="D24" s="3" t="inlineStr">
        <is>
          <t>Default ramp; change</t>
        </is>
      </c>
      <c r="E24" s="3" t="n"/>
      <c r="F24" s="3" t="n"/>
    </row>
    <row r="25">
      <c r="A25" s="3" t="inlineStr">
        <is>
          <t>Hold (GGR/Deposits)</t>
        </is>
      </c>
      <c r="B25" s="3" t="n">
        <v>0.08</v>
      </c>
      <c r="C25" s="3" t="inlineStr">
        <is>
          <t>доля</t>
        </is>
      </c>
      <c r="D25" s="3" t="inlineStr">
        <is>
          <t>Deposits = GGR / Hold</t>
        </is>
      </c>
      <c r="E25" s="3" t="n"/>
      <c r="F25" s="3" t="n"/>
    </row>
    <row r="26">
      <c r="A26" s="3" t="inlineStr">
        <is>
          <t>Withdrawal share of deposits</t>
        </is>
      </c>
      <c r="B26" s="3" t="n">
        <v>0.7</v>
      </c>
      <c r="C26" s="3" t="inlineStr">
        <is>
          <t>доля</t>
        </is>
      </c>
      <c r="D26" s="3" t="inlineStr">
        <is>
          <t>Withdrawals = Deposits * share</t>
        </is>
      </c>
      <c r="E26" s="3" t="n"/>
      <c r="F26" s="3" t="n"/>
    </row>
    <row r="27">
      <c r="A27" t="inlineStr">
        <is>
          <t>Fiat share of deposits</t>
        </is>
      </c>
      <c r="B27" t="n">
        <v>0.7</v>
      </c>
      <c r="C27" t="inlineStr">
        <is>
          <t>доля</t>
        </is>
      </c>
      <c r="D27" t="inlineStr">
        <is>
          <t>Rest goes to crypto</t>
        </is>
      </c>
    </row>
    <row r="28">
      <c r="A28" s="2" t="inlineStr">
        <is>
          <t>Crypto share of deposits</t>
        </is>
      </c>
      <c r="B28" s="2">
        <f>1-B23</f>
        <v/>
      </c>
      <c r="C28" s="2" t="inlineStr">
        <is>
          <t>доля</t>
        </is>
      </c>
      <c r="D28" s="2" t="inlineStr">
        <is>
          <t>Auto</t>
        </is>
      </c>
    </row>
    <row r="29">
      <c r="A29" s="3" t="n"/>
      <c r="B29" s="3" t="n"/>
      <c r="C29" s="3" t="n"/>
      <c r="D29" s="3" t="n"/>
    </row>
    <row r="30">
      <c r="A30" s="3" t="inlineStr">
        <is>
          <t>Команда и операции (редактируемые)</t>
        </is>
      </c>
      <c r="B30" s="3" t="inlineStr">
        <is>
          <t>Значение</t>
        </is>
      </c>
      <c r="C30" s="3" t="inlineStr">
        <is>
          <t>Ед.</t>
        </is>
      </c>
      <c r="D30" s="3" t="inlineStr">
        <is>
          <t>Комментарий</t>
        </is>
      </c>
    </row>
    <row r="31">
      <c r="A31" s="3" t="inlineStr">
        <is>
          <t>CEO/CTO fixed</t>
        </is>
      </c>
      <c r="B31" s="3" t="n">
        <v>5000</v>
      </c>
      <c r="C31" s="3" t="inlineStr">
        <is>
          <t>USD/mo</t>
        </is>
      </c>
      <c r="D31" s="3" t="inlineStr">
        <is>
          <t>As requested</t>
        </is>
      </c>
    </row>
    <row r="32">
      <c r="A32" s="3" t="inlineStr">
        <is>
          <t>CEO/CTO variable</t>
        </is>
      </c>
      <c r="B32" s="3" t="n">
        <v>0.12</v>
      </c>
      <c r="C32" s="3" t="inlineStr">
        <is>
          <t>fraction of GGR</t>
        </is>
      </c>
      <c r="D32" s="3" t="inlineStr">
        <is>
          <t>10–15% depending on profit</t>
        </is>
      </c>
    </row>
    <row r="33">
      <c r="A33" s="3" t="inlineStr">
        <is>
          <t>Support agents count</t>
        </is>
      </c>
      <c r="B33" s="3" t="n">
        <v>2</v>
      </c>
      <c r="C33" s="3" t="inlineStr">
        <is>
          <t>people</t>
        </is>
      </c>
      <c r="D33" s="3" t="inlineStr">
        <is>
          <t>Change as needed</t>
        </is>
      </c>
    </row>
    <row r="34">
      <c r="A34" s="3" t="inlineStr">
        <is>
          <t>Support agent salary</t>
        </is>
      </c>
      <c r="B34" s="3" t="n">
        <v>700</v>
      </c>
      <c r="C34" s="3" t="inlineStr">
        <is>
          <t>USD/mo</t>
        </is>
      </c>
      <c r="D34" s="3" t="inlineStr">
        <is>
          <t>per person</t>
        </is>
      </c>
    </row>
    <row r="35">
      <c r="A35" s="3" t="inlineStr">
        <is>
          <t>Marketing/SEO budget</t>
        </is>
      </c>
      <c r="B35" s="3" t="n">
        <v>2500</v>
      </c>
      <c r="C35" s="3" t="inlineStr">
        <is>
          <t>USD/mo</t>
        </is>
      </c>
      <c r="D35" s="3" t="inlineStr">
        <is>
          <t>SEO + PPC + content</t>
        </is>
      </c>
    </row>
    <row r="36">
      <c r="A36" s="3" t="inlineStr">
        <is>
          <t>SMS verification cost</t>
        </is>
      </c>
      <c r="B36" s="3" t="n">
        <v>15</v>
      </c>
      <c r="C36" s="3" t="inlineStr">
        <is>
          <t>RUB/verification</t>
        </is>
      </c>
      <c r="D36" s="3" t="inlineStr">
        <is>
          <t>uCaller approx; set actual</t>
        </is>
      </c>
    </row>
    <row r="37">
      <c r="A37" s="3" t="inlineStr">
        <is>
          <t>Monthly new verifications</t>
        </is>
      </c>
      <c r="B37" s="3" t="n">
        <v>2000</v>
      </c>
      <c r="C37" s="3" t="inlineStr">
        <is>
          <t>count</t>
        </is>
      </c>
      <c r="D37" s="3" t="inlineStr">
        <is>
          <t>Registrations/OTP</t>
        </is>
      </c>
    </row>
    <row r="38">
      <c r="A38" s="3" t="inlineStr">
        <is>
          <t>Domain cost</t>
        </is>
      </c>
      <c r="B38" s="3" t="n">
        <v>20</v>
      </c>
      <c r="C38" s="3" t="inlineStr">
        <is>
          <t>USD/yr</t>
        </is>
      </c>
      <c r="D38" s="3" t="inlineStr">
        <is>
          <t>aurex.casino + related</t>
        </is>
      </c>
    </row>
    <row r="39">
      <c r="A39" t="inlineStr">
        <is>
          <t>VPS proxy</t>
        </is>
      </c>
      <c r="B39" t="n">
        <v>15</v>
      </c>
      <c r="C39" t="inlineStr">
        <is>
          <t>USD/mo</t>
        </is>
      </c>
      <c r="D39" t="inlineStr">
        <is>
          <t>nginx reverse proxy</t>
        </is>
      </c>
    </row>
    <row r="40">
      <c r="A40" t="inlineStr">
        <is>
          <t>Railway (FE+BE+DB)</t>
        </is>
      </c>
      <c r="B40" t="n">
        <v>250</v>
      </c>
      <c r="C40" t="inlineStr">
        <is>
          <t>USD/mo</t>
        </is>
      </c>
      <c r="D40" t="inlineStr">
        <is>
          <t>placeholder; replace with actual</t>
        </is>
      </c>
    </row>
    <row r="41">
      <c r="A41" t="inlineStr">
        <is>
          <t>Email/SMS marketing tools</t>
        </is>
      </c>
      <c r="B41" t="n">
        <v>150</v>
      </c>
      <c r="C41" t="inlineStr">
        <is>
          <t>USD/mo</t>
        </is>
      </c>
      <c r="D41" t="inlineStr">
        <is>
          <t>e.g. SendPulse/UniSender/etc.</t>
        </is>
      </c>
    </row>
    <row r="42">
      <c r="A42" t="inlineStr">
        <is>
          <t>Misc / legal / accounting</t>
        </is>
      </c>
      <c r="B42" t="n">
        <v>300</v>
      </c>
      <c r="C42" t="inlineStr">
        <is>
          <t>USD/mo</t>
        </is>
      </c>
      <c r="D42" t="inlineStr">
        <is>
          <t>placeholder</t>
        </is>
      </c>
    </row>
    <row r="44">
      <c r="A44" t="inlineStr">
        <is>
          <t>GGR по месяцам (EUR)</t>
        </is>
      </c>
    </row>
    <row r="45">
      <c r="A45" t="inlineStr">
        <is>
          <t>M1</t>
        </is>
      </c>
      <c r="B45" t="inlineStr">
        <is>
          <t>M2</t>
        </is>
      </c>
      <c r="C45" t="inlineStr">
        <is>
          <t>M3</t>
        </is>
      </c>
      <c r="D45" t="inlineStr">
        <is>
          <t>M4</t>
        </is>
      </c>
      <c r="E45" t="inlineStr">
        <is>
          <t>M5</t>
        </is>
      </c>
      <c r="F45" t="inlineStr">
        <is>
          <t>M6</t>
        </is>
      </c>
    </row>
    <row r="46">
      <c r="A46" t="n">
        <v>5000</v>
      </c>
      <c r="B46" t="n">
        <v>10000</v>
      </c>
      <c r="C46" t="n">
        <v>20000</v>
      </c>
      <c r="D46" t="n">
        <v>30000</v>
      </c>
      <c r="E46" t="n">
        <v>40000</v>
      </c>
      <c r="F46" t="n">
        <v>50000</v>
      </c>
    </row>
    <row r="48"/>
  </sheetData>
  <mergeCells count="2">
    <mergeCell ref="A48:D4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8" customWidth="1" min="4" max="4"/>
    <col width="50" customWidth="1" min="5" max="5"/>
  </cols>
  <sheetData>
    <row r="1">
      <c r="A1" s="4" t="inlineStr">
        <is>
          <t>Разовые платежи / стартовые расходы</t>
        </is>
      </c>
      <c r="B1" s="4" t="inlineStr">
        <is>
          <t>Сумма</t>
        </is>
      </c>
      <c r="C1" s="4" t="inlineStr">
        <is>
          <t>Валюта</t>
        </is>
      </c>
      <c r="D1" s="4" t="inlineStr">
        <is>
          <t>Сумма (RUB)</t>
        </is>
      </c>
      <c r="E1" s="4" t="inlineStr">
        <is>
          <t>Комментарий</t>
        </is>
      </c>
    </row>
    <row r="2">
      <c r="A2" s="3" t="inlineStr">
        <is>
          <t>Project payment after сдача</t>
        </is>
      </c>
      <c r="B2" s="3" t="n">
        <v>480000</v>
      </c>
      <c r="C2" s="3" t="inlineStr">
        <is>
          <t>RUB</t>
        </is>
      </c>
      <c r="D2" s="5" t="n">
        <v>480000</v>
      </c>
      <c r="E2" s="3" t="inlineStr">
        <is>
          <t>Разовая доплата 480,000 RUB</t>
        </is>
      </c>
    </row>
    <row r="3">
      <c r="A3" s="3" t="inlineStr">
        <is>
          <t>SoftGamings — minimum deposit</t>
        </is>
      </c>
      <c r="B3" s="3" t="n">
        <v>4000</v>
      </c>
      <c r="C3" s="3" t="inlineStr">
        <is>
          <t>EUR</t>
        </is>
      </c>
      <c r="D3" s="5" t="n">
        <v>367772</v>
      </c>
      <c r="E3" s="3" t="inlineStr">
        <is>
          <t>€4,000 at start; deducted from M4</t>
        </is>
      </c>
    </row>
    <row r="4">
      <c r="A4" s="3" t="inlineStr">
        <is>
          <t>SoftGamings — credits before live</t>
        </is>
      </c>
      <c r="B4" s="3" t="n">
        <v>5000</v>
      </c>
      <c r="C4" s="3" t="inlineStr">
        <is>
          <t>EUR</t>
        </is>
      </c>
      <c r="D4" s="5" t="n">
        <v>459714</v>
      </c>
      <c r="E4" s="3" t="inlineStr">
        <is>
          <t>€5,000 credits before go-live</t>
        </is>
      </c>
    </row>
    <row r="5">
      <c r="A5" s="3" t="inlineStr">
        <is>
          <t>Belize company registration</t>
        </is>
      </c>
      <c r="B5" s="3" t="n">
        <v>1900</v>
      </c>
      <c r="C5" s="3" t="inlineStr">
        <is>
          <t>EUR</t>
        </is>
      </c>
      <c r="D5" s="5" t="n">
        <v>174692</v>
      </c>
      <c r="E5" s="3" t="inlineStr">
        <is>
          <t>€1,900/year, ~4 weeks</t>
        </is>
      </c>
    </row>
    <row r="6">
      <c r="A6" s="3" t="inlineStr">
        <is>
          <t>Domains (annual)</t>
        </is>
      </c>
      <c r="B6" s="3" t="n">
        <v>20</v>
      </c>
      <c r="C6" s="3" t="inlineStr">
        <is>
          <t>USD</t>
        </is>
      </c>
      <c r="D6" s="5" t="n">
        <v>1544</v>
      </c>
      <c r="E6" s="3" t="inlineStr">
        <is>
          <t>Annual; for cashflow amortize monthly if needed</t>
        </is>
      </c>
    </row>
    <row r="8">
      <c r="A8" s="6" t="inlineStr">
        <is>
          <t>ИТОГО (RUB)</t>
        </is>
      </c>
      <c r="B8" s="6" t="n"/>
      <c r="C8" s="6" t="n"/>
      <c r="D8" s="7" t="n">
        <v>1483722</v>
      </c>
      <c r="E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18" customWidth="1" min="4" max="4"/>
    <col width="52" customWidth="1" min="5" max="5"/>
  </cols>
  <sheetData>
    <row r="1">
      <c r="A1" s="4" t="inlineStr">
        <is>
          <t>Статья</t>
        </is>
      </c>
      <c r="B1" s="4" t="inlineStr">
        <is>
          <t>Валюта</t>
        </is>
      </c>
      <c r="C1" s="4" t="inlineStr">
        <is>
          <t>Сумма в месяц</t>
        </is>
      </c>
      <c r="D1" s="4" t="inlineStr">
        <is>
          <t>В месяц (RUB)</t>
        </is>
      </c>
      <c r="E1" s="4" t="inlineStr">
        <is>
          <t>Комментарий</t>
        </is>
      </c>
    </row>
    <row r="2">
      <c r="A2" s="3" t="inlineStr">
        <is>
          <t>CEO/CTO fixed</t>
        </is>
      </c>
      <c r="B2" s="3" t="inlineStr">
        <is>
          <t>USD</t>
        </is>
      </c>
      <c r="C2" s="3" t="n">
        <v>5000</v>
      </c>
      <c r="D2" s="5" t="n">
        <v>386046</v>
      </c>
      <c r="E2" s="3" t="inlineStr">
        <is>
          <t>$5,000/mo</t>
        </is>
      </c>
    </row>
    <row r="3">
      <c r="A3" s="3" t="inlineStr">
        <is>
          <t>CEO/CTO variable (share of GGR)</t>
        </is>
      </c>
      <c r="B3" s="3" t="inlineStr">
        <is>
          <t>EUR</t>
        </is>
      </c>
      <c r="C3" s="3" t="inlineStr">
        <is>
          <t>(modelled in cashflow)</t>
        </is>
      </c>
      <c r="D3" s="5">
        <f>IF(B3='RUB',C3,IF(B3='EUR',C3*'Параметры'!B5,IF(B3='USD',C3*'Параметры'!B6,'')))</f>
        <v/>
      </c>
      <c r="E3" s="3" t="inlineStr">
        <is>
          <t>10–15% of GGR (handled in Cashflow)</t>
        </is>
      </c>
    </row>
    <row r="4">
      <c r="A4" s="3" t="inlineStr">
        <is>
          <t>Support salaries</t>
        </is>
      </c>
      <c r="B4" s="3" t="inlineStr">
        <is>
          <t>USD</t>
        </is>
      </c>
      <c r="C4" s="3" t="n">
        <v>1400</v>
      </c>
      <c r="D4" s="5" t="n">
        <v>108093</v>
      </c>
      <c r="E4" s="3" t="inlineStr">
        <is>
          <t>Support agents count * salary</t>
        </is>
      </c>
    </row>
    <row r="5">
      <c r="A5" s="3" t="inlineStr">
        <is>
          <t>Railway (FE+BE+DB)</t>
        </is>
      </c>
      <c r="B5" s="3" t="inlineStr">
        <is>
          <t>USD</t>
        </is>
      </c>
      <c r="C5" s="3" t="n">
        <v>250</v>
      </c>
      <c r="D5" s="5" t="n">
        <v>19302</v>
      </c>
      <c r="E5" s="3" t="inlineStr">
        <is>
          <t>Replace with actual invoice</t>
        </is>
      </c>
    </row>
    <row r="6">
      <c r="A6" s="3" t="inlineStr">
        <is>
          <t>VPS proxy</t>
        </is>
      </c>
      <c r="B6" s="3" t="inlineStr">
        <is>
          <t>USD</t>
        </is>
      </c>
      <c r="C6" s="3" t="n">
        <v>15</v>
      </c>
      <c r="D6" s="5" t="n">
        <v>1158</v>
      </c>
      <c r="E6" s="3" t="inlineStr">
        <is>
          <t>Reverse proxy</t>
        </is>
      </c>
    </row>
    <row r="7">
      <c r="A7" s="3" t="inlineStr">
        <is>
          <t>Marketing + SEO</t>
        </is>
      </c>
      <c r="B7" s="3" t="inlineStr">
        <is>
          <t>USD</t>
        </is>
      </c>
      <c r="C7" s="3" t="n">
        <v>2500</v>
      </c>
      <c r="D7" s="5" t="n">
        <v>193023</v>
      </c>
      <c r="E7" s="3" t="inlineStr">
        <is>
          <t>SEO/PPC/content</t>
        </is>
      </c>
    </row>
    <row r="8">
      <c r="A8" s="3" t="inlineStr">
        <is>
          <t>Email/SMS marketing tools</t>
        </is>
      </c>
      <c r="B8" s="3" t="inlineStr">
        <is>
          <t>USD</t>
        </is>
      </c>
      <c r="C8" s="3" t="n">
        <v>150</v>
      </c>
      <c r="D8" s="5" t="n">
        <v>11581</v>
      </c>
      <c r="E8" s="3" t="inlineStr">
        <is>
          <t>Newsletter/CRM tools</t>
        </is>
      </c>
    </row>
    <row r="9">
      <c r="A9" s="3" t="inlineStr">
        <is>
          <t>SMS verification</t>
        </is>
      </c>
      <c r="B9" s="3" t="inlineStr">
        <is>
          <t>RUB</t>
        </is>
      </c>
      <c r="C9" s="3" t="n">
        <v>30000</v>
      </c>
      <c r="D9" s="5" t="n">
        <v>30000</v>
      </c>
      <c r="E9" s="3" t="inlineStr">
        <is>
          <t>Cost per verification * count</t>
        </is>
      </c>
    </row>
    <row r="10">
      <c r="A10" s="3" t="inlineStr">
        <is>
          <t>Misc / legal / accounting</t>
        </is>
      </c>
      <c r="B10" s="3" t="inlineStr">
        <is>
          <t>USD</t>
        </is>
      </c>
      <c r="C10" s="3" t="n">
        <v>300</v>
      </c>
      <c r="D10" s="5" t="n">
        <v>23163</v>
      </c>
      <c r="E10" s="3" t="inlineStr">
        <is>
          <t>Buffer</t>
        </is>
      </c>
    </row>
    <row r="12">
      <c r="A12" s="6" t="inlineStr">
        <is>
          <t>ИТОГО OPEX в месяц (RUB)</t>
        </is>
      </c>
      <c r="B12" s="6" t="n"/>
      <c r="C12" s="6" t="n"/>
      <c r="D12" s="7" t="n">
        <v>772365</v>
      </c>
      <c r="E1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4" t="inlineStr">
        <is>
          <t>Показатель</t>
        </is>
      </c>
      <c r="B1" s="4" t="inlineStr">
        <is>
          <t>M1</t>
        </is>
      </c>
      <c r="C1" s="4" t="inlineStr">
        <is>
          <t>M2</t>
        </is>
      </c>
      <c r="D1" s="4" t="inlineStr">
        <is>
          <t>M3</t>
        </is>
      </c>
      <c r="E1" s="4" t="inlineStr">
        <is>
          <t>M4</t>
        </is>
      </c>
      <c r="F1" s="4" t="inlineStr">
        <is>
          <t>M5</t>
        </is>
      </c>
      <c r="G1" s="4" t="inlineStr">
        <is>
          <t>M6</t>
        </is>
      </c>
      <c r="H1" s="4" t="inlineStr">
        <is>
          <t>Итого (6 мес)</t>
        </is>
      </c>
    </row>
    <row r="2">
      <c r="A2" s="6" t="inlineStr">
        <is>
          <t>GGR (EUR)</t>
        </is>
      </c>
      <c r="B2" s="8" t="n">
        <v>5000</v>
      </c>
      <c r="C2" s="8" t="n">
        <v>10000</v>
      </c>
      <c r="D2" s="8" t="n">
        <v>20000</v>
      </c>
      <c r="E2" s="8" t="n">
        <v>30000</v>
      </c>
      <c r="F2" s="8" t="n">
        <v>40000</v>
      </c>
      <c r="G2" s="8" t="n">
        <v>50000</v>
      </c>
      <c r="H2" s="8" t="n">
        <v>155000</v>
      </c>
    </row>
    <row r="3">
      <c r="A3" s="9" t="inlineStr">
        <is>
          <t>SoftGamings комиссия за контент (% от GGR)</t>
        </is>
      </c>
      <c r="B3" s="10" t="n">
        <v>525</v>
      </c>
      <c r="C3" s="10" t="n">
        <v>1050</v>
      </c>
      <c r="D3" s="10" t="n">
        <v>2100</v>
      </c>
      <c r="E3" s="10" t="n">
        <v>3150</v>
      </c>
      <c r="F3" s="10" t="n">
        <v>4200</v>
      </c>
      <c r="G3" s="10" t="n">
        <v>5250</v>
      </c>
      <c r="H3" s="10" t="n">
        <v>16275</v>
      </c>
    </row>
    <row r="4">
      <c r="A4" s="9" t="inlineStr">
        <is>
          <t>SoftGamings минимум в месяц (EUR) (с M4)</t>
        </is>
      </c>
      <c r="B4" s="10" t="n">
        <v>0</v>
      </c>
      <c r="C4" s="10" t="n">
        <v>0</v>
      </c>
      <c r="D4" s="10" t="n">
        <v>0</v>
      </c>
      <c r="E4" s="10" t="n">
        <v>4000</v>
      </c>
      <c r="F4" s="10" t="n">
        <v>4000</v>
      </c>
      <c r="G4" s="10" t="n">
        <v>4000</v>
      </c>
      <c r="H4" s="10" t="n">
        <v>12000</v>
      </c>
    </row>
    <row r="5">
      <c r="A5" s="9" t="inlineStr">
        <is>
          <t>К оплате SoftGamings (EUR)</t>
        </is>
      </c>
      <c r="B5" s="10" t="n">
        <v>525</v>
      </c>
      <c r="C5" s="10" t="n">
        <v>1050</v>
      </c>
      <c r="D5" s="10" t="n">
        <v>2100</v>
      </c>
      <c r="E5" s="10" t="n">
        <v>4000</v>
      </c>
      <c r="F5" s="10" t="n">
        <v>4200</v>
      </c>
      <c r="G5" s="10" t="n">
        <v>5250</v>
      </c>
      <c r="H5" s="10" t="n">
        <v>17125</v>
      </c>
    </row>
    <row r="6">
      <c r="A6" s="9" t="inlineStr">
        <is>
          <t>Объём депозитов (EUR) (GGR/hold)</t>
        </is>
      </c>
      <c r="B6" s="10" t="n">
        <v>62500</v>
      </c>
      <c r="C6" s="10" t="n">
        <v>125000</v>
      </c>
      <c r="D6" s="10" t="n">
        <v>250000</v>
      </c>
      <c r="E6" s="10" t="n">
        <v>375000</v>
      </c>
      <c r="F6" s="10" t="n">
        <v>500000</v>
      </c>
      <c r="G6" s="10" t="n">
        <v>625000</v>
      </c>
      <c r="H6" s="10" t="n">
        <v>1937500</v>
      </c>
    </row>
    <row r="7">
      <c r="A7" s="9" t="inlineStr">
        <is>
          <t>Фиат депозиты (EUR)</t>
        </is>
      </c>
      <c r="B7" s="10" t="n">
        <v>43750</v>
      </c>
      <c r="C7" s="10" t="n">
        <v>87500</v>
      </c>
      <c r="D7" s="10" t="n">
        <v>175000</v>
      </c>
      <c r="E7" s="10" t="n">
        <v>262500</v>
      </c>
      <c r="F7" s="10" t="n">
        <v>350000</v>
      </c>
      <c r="G7" s="10" t="n">
        <v>437500</v>
      </c>
      <c r="H7" s="10" t="n">
        <v>1356250</v>
      </c>
    </row>
    <row r="8">
      <c r="A8" s="9" t="inlineStr">
        <is>
          <t>Крипто депозиты (EUR)</t>
        </is>
      </c>
      <c r="B8" s="10" t="n">
        <v>18750</v>
      </c>
      <c r="C8" s="10" t="n">
        <v>37500</v>
      </c>
      <c r="D8" s="10" t="n">
        <v>75000</v>
      </c>
      <c r="E8" s="10" t="n">
        <v>112500</v>
      </c>
      <c r="F8" s="10" t="n">
        <v>150000</v>
      </c>
      <c r="G8" s="10" t="n">
        <v>187500</v>
      </c>
      <c r="H8" s="10" t="n">
        <v>581250</v>
      </c>
    </row>
    <row r="9">
      <c r="A9" s="9" t="inlineStr">
        <is>
          <t>Комиссии на фиат ввод (EUR)</t>
        </is>
      </c>
      <c r="B9" s="10" t="n">
        <v>5468.75</v>
      </c>
      <c r="C9" s="10" t="n">
        <v>10937.5</v>
      </c>
      <c r="D9" s="10" t="n">
        <v>21875</v>
      </c>
      <c r="E9" s="10" t="n">
        <v>32812.5</v>
      </c>
      <c r="F9" s="10" t="n">
        <v>43750</v>
      </c>
      <c r="G9" s="10" t="n">
        <v>54687.5</v>
      </c>
      <c r="H9" s="10" t="n">
        <v>169531.25</v>
      </c>
    </row>
    <row r="10">
      <c r="A10" s="9" t="inlineStr">
        <is>
          <t>Объём выводов (EUR)</t>
        </is>
      </c>
      <c r="B10" s="10" t="n">
        <v>43750</v>
      </c>
      <c r="C10" s="10" t="n">
        <v>87500</v>
      </c>
      <c r="D10" s="10" t="n">
        <v>175000</v>
      </c>
      <c r="E10" s="10" t="n">
        <v>262500</v>
      </c>
      <c r="F10" s="10" t="n">
        <v>350000</v>
      </c>
      <c r="G10" s="10" t="n">
        <v>437500</v>
      </c>
      <c r="H10" s="10" t="n">
        <v>1356250</v>
      </c>
    </row>
    <row r="11">
      <c r="A11" s="9" t="inlineStr">
        <is>
          <t>Комиссии на вывод (EUR)</t>
        </is>
      </c>
      <c r="B11" s="10" t="n">
        <v>1750</v>
      </c>
      <c r="C11" s="10" t="n">
        <v>3500</v>
      </c>
      <c r="D11" s="10" t="n">
        <v>7000</v>
      </c>
      <c r="E11" s="10" t="n">
        <v>10500</v>
      </c>
      <c r="F11" s="10" t="n">
        <v>14000</v>
      </c>
      <c r="G11" s="10" t="n">
        <v>17500</v>
      </c>
      <c r="H11" s="10" t="n">
        <v>54250</v>
      </c>
    </row>
    <row r="12">
      <c r="A12" s="9" t="inlineStr">
        <is>
          <t>Комиссия на крипто ввод (EUR)</t>
        </is>
      </c>
      <c r="B12" s="10" t="n">
        <v>150</v>
      </c>
      <c r="C12" s="10" t="n">
        <v>300</v>
      </c>
      <c r="D12" s="10" t="n">
        <v>600</v>
      </c>
      <c r="E12" s="10" t="n">
        <v>900</v>
      </c>
      <c r="F12" s="10" t="n">
        <v>1200</v>
      </c>
      <c r="G12" s="10" t="n">
        <v>1500</v>
      </c>
      <c r="H12" s="10" t="n">
        <v>4650</v>
      </c>
    </row>
    <row r="13">
      <c r="A13" s="9" t="inlineStr">
        <is>
          <t>Комиссия на крипто вывод (EUR)</t>
        </is>
      </c>
      <c r="B13" s="10" t="n">
        <v>65.63</v>
      </c>
      <c r="C13" s="10" t="n">
        <v>131.25</v>
      </c>
      <c r="D13" s="10" t="n">
        <v>262.5</v>
      </c>
      <c r="E13" s="10" t="n">
        <v>393.75</v>
      </c>
      <c r="F13" s="10" t="n">
        <v>525</v>
      </c>
      <c r="G13" s="10" t="n">
        <v>656.25</v>
      </c>
      <c r="H13" s="10" t="n">
        <v>2034.38</v>
      </c>
    </row>
    <row r="14">
      <c r="A14" s="9" t="inlineStr">
        <is>
          <t>CEO/CTO фикс (в пересчёте на EUR)</t>
        </is>
      </c>
      <c r="B14" s="10" t="n">
        <v>4198.75</v>
      </c>
      <c r="C14" s="10" t="n">
        <v>4198.75</v>
      </c>
      <c r="D14" s="10" t="n">
        <v>4198.75</v>
      </c>
      <c r="E14" s="10" t="n">
        <v>4198.75</v>
      </c>
      <c r="F14" s="10" t="n">
        <v>4198.75</v>
      </c>
      <c r="G14" s="10" t="n">
        <v>4198.75</v>
      </c>
      <c r="H14" s="10" t="n">
        <v>25192.5</v>
      </c>
    </row>
    <row r="15">
      <c r="A15" s="9" t="inlineStr">
        <is>
          <t>CEO/CTO % от GGR (EUR)</t>
        </is>
      </c>
      <c r="B15" s="10" t="n">
        <v>600</v>
      </c>
      <c r="C15" s="10" t="n">
        <v>1200</v>
      </c>
      <c r="D15" s="10" t="n">
        <v>2400</v>
      </c>
      <c r="E15" s="10" t="n">
        <v>3600</v>
      </c>
      <c r="F15" s="10" t="n">
        <v>4800</v>
      </c>
      <c r="G15" s="10" t="n">
        <v>6000</v>
      </c>
      <c r="H15" s="10" t="n">
        <v>18600</v>
      </c>
    </row>
    <row r="16">
      <c r="A16" s="9" t="inlineStr">
        <is>
          <t>ЗП поддержки (в пересчёте на EUR)</t>
        </is>
      </c>
      <c r="B16" s="10" t="n">
        <v>1175.65</v>
      </c>
      <c r="C16" s="10" t="n">
        <v>1175.65</v>
      </c>
      <c r="D16" s="10" t="n">
        <v>1175.65</v>
      </c>
      <c r="E16" s="10" t="n">
        <v>1175.65</v>
      </c>
      <c r="F16" s="10" t="n">
        <v>1175.65</v>
      </c>
      <c r="G16" s="10" t="n">
        <v>1175.65</v>
      </c>
      <c r="H16" s="10" t="n">
        <v>7053.9</v>
      </c>
    </row>
    <row r="17">
      <c r="A17" s="9" t="inlineStr">
        <is>
          <t>Инфра + инструменты + маркетинг + прочее (в EUR)</t>
        </is>
      </c>
      <c r="B17" s="10" t="n">
        <v>2699.8</v>
      </c>
      <c r="C17" s="10" t="n">
        <v>2699.8</v>
      </c>
      <c r="D17" s="10" t="n">
        <v>2699.8</v>
      </c>
      <c r="E17" s="10" t="n">
        <v>2699.8</v>
      </c>
      <c r="F17" s="10" t="n">
        <v>2699.8</v>
      </c>
      <c r="G17" s="10" t="n">
        <v>2699.8</v>
      </c>
      <c r="H17" s="10" t="n">
        <v>16198.8</v>
      </c>
    </row>
    <row r="18">
      <c r="A18" s="9" t="inlineStr">
        <is>
          <t>SMS‑верификация (в EUR)</t>
        </is>
      </c>
      <c r="B18" s="10" t="n">
        <v>326.29</v>
      </c>
      <c r="C18" s="10" t="n">
        <v>326.29</v>
      </c>
      <c r="D18" s="10" t="n">
        <v>326.29</v>
      </c>
      <c r="E18" s="10" t="n">
        <v>326.29</v>
      </c>
      <c r="F18" s="10" t="n">
        <v>326.29</v>
      </c>
      <c r="G18" s="10" t="n">
        <v>326.29</v>
      </c>
      <c r="H18" s="10" t="n">
        <v>1957.74</v>
      </c>
    </row>
    <row r="19">
      <c r="A19" s="9" t="inlineStr">
        <is>
          <t>Чистый денежный поток (EUR)</t>
        </is>
      </c>
      <c r="B19" s="10" t="n">
        <v>-11959.87</v>
      </c>
      <c r="C19" s="10" t="n">
        <v>-15519.24</v>
      </c>
      <c r="D19" s="10" t="n">
        <v>-22637.99</v>
      </c>
      <c r="E19" s="10" t="n">
        <v>-30606.74</v>
      </c>
      <c r="F19" s="10" t="n">
        <v>-36875.49</v>
      </c>
      <c r="G19" s="10" t="n">
        <v>-43994.24</v>
      </c>
      <c r="H19" s="10" t="n">
        <v>-161593.57</v>
      </c>
    </row>
    <row r="20"/>
    <row r="21">
      <c r="A21" s="6" t="inlineStr">
        <is>
          <t>Чистый денежный поток (RUB)</t>
        </is>
      </c>
      <c r="B21" s="7" t="n">
        <v>-1099625</v>
      </c>
      <c r="C21" s="7" t="n">
        <v>-1426884</v>
      </c>
      <c r="D21" s="7" t="n">
        <v>-2081402</v>
      </c>
      <c r="E21" s="7" t="n">
        <v>-2814072</v>
      </c>
      <c r="F21" s="7" t="n">
        <v>-3390439</v>
      </c>
      <c r="G21" s="7" t="n">
        <v>-4044958</v>
      </c>
      <c r="H21" s="7" t="n">
        <v>-14857380</v>
      </c>
    </row>
    <row r="22"/>
    <row r="23"/>
    <row r="24"/>
    <row r="25"/>
    <row r="26"/>
    <row r="27"/>
    <row r="28"/>
    <row r="29"/>
    <row r="30">
      <c r="A30" s="17" t="inlineStr">
        <is>
          <t>💰 СЦЕНАРИЙ С БЛОГЕРАМИ-МИЛЛИОННИКАМИ (агрессивный рост)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s="18" t="inlineStr">
        <is>
          <t>⚠️ Текущий расчёт — БАЗОВЫЙ (органика + SEO $2,500/мес):</t>
        </is>
      </c>
    </row>
    <row r="64">
      <c r="A64" t="inlineStr">
        <is>
          <t xml:space="preserve">  GGR за 6 мес: 155k EUR (рост 5k → 50k/мес)</t>
        </is>
      </c>
    </row>
    <row r="65">
      <c r="A65" t="inlineStr">
        <is>
          <t xml:space="preserve">  Убыток: 14.9M RUB (~162k EUR)</t>
        </is>
      </c>
    </row>
    <row r="66"/>
    <row r="67">
      <c r="A67" s="18" t="inlineStr">
        <is>
          <t>🚀 С БЛОГЕРАМИ-МИЛЛИОННИКАМИ (реклама 1-2M RUB/мес с M2):</t>
        </is>
      </c>
    </row>
    <row r="68"/>
    <row r="69">
      <c r="A69" t="inlineStr">
        <is>
          <t xml:space="preserve">  Расходы на рекламу: +4-6M RUB за 6 мес</t>
        </is>
      </c>
    </row>
    <row r="70">
      <c r="A70" t="inlineStr">
        <is>
          <t xml:space="preserve">  НО! GGR растёт в 5-10 раз:</t>
        </is>
      </c>
    </row>
    <row r="71">
      <c r="A71" t="inlineStr">
        <is>
          <t xml:space="preserve">    • M1: 5k EUR (органика)</t>
        </is>
      </c>
    </row>
    <row r="72">
      <c r="A72" t="inlineStr">
        <is>
          <t xml:space="preserve">    • M2: 30-50k EUR (первый блогер)</t>
        </is>
      </c>
    </row>
    <row r="73">
      <c r="A73" t="inlineStr">
        <is>
          <t xml:space="preserve">    • M3: 80-100k EUR (повторный + сарафан)</t>
        </is>
      </c>
    </row>
    <row r="74">
      <c r="A74" t="inlineStr">
        <is>
          <t xml:space="preserve">    • M4-M6: 120-200k EUR/мес (масштаб)</t>
        </is>
      </c>
    </row>
    <row r="75"/>
    <row r="76">
      <c r="A76" t="inlineStr">
        <is>
          <t xml:space="preserve">  GGR за 6 мес: 500-700k EUR (вместо 155k!)</t>
        </is>
      </c>
    </row>
    <row r="77">
      <c r="A77" t="inlineStr">
        <is>
          <t xml:space="preserve">  Убыток/Прибыль: +50-150k EUR ПРИБЫЛИ вместо убытка!</t>
        </is>
      </c>
    </row>
    <row r="78"/>
  </sheetData>
  <mergeCells count="28">
    <mergeCell ref="A48:H48"/>
    <mergeCell ref="A30:H30"/>
    <mergeCell ref="A39:H39"/>
    <mergeCell ref="A51:H51"/>
    <mergeCell ref="A36:H36"/>
    <mergeCell ref="A49:H49"/>
    <mergeCell ref="A45:H45"/>
    <mergeCell ref="A25:H25"/>
    <mergeCell ref="A54:H54"/>
    <mergeCell ref="A41:H41"/>
    <mergeCell ref="A46:H46"/>
    <mergeCell ref="A37:H37"/>
    <mergeCell ref="A50:H50"/>
    <mergeCell ref="A55:H55"/>
    <mergeCell ref="A42:H42"/>
    <mergeCell ref="A33:H33"/>
    <mergeCell ref="A47:H47"/>
    <mergeCell ref="A32:H32"/>
    <mergeCell ref="A53:H53"/>
    <mergeCell ref="A35:H35"/>
    <mergeCell ref="A34:H34"/>
    <mergeCell ref="A43:H43"/>
    <mergeCell ref="A38:H38"/>
    <mergeCell ref="A52:H52"/>
    <mergeCell ref="A28:H28"/>
    <mergeCell ref="A44:H44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AUREX 6M Business Plan</dc:title>
  <dcterms:created xmlns:dcterms="http://purl.org/dc/terms/" xmlns:xsi="http://www.w3.org/2001/XMLSchema-instance" xsi:type="dcterms:W3CDTF">2026-02-11T05:34:58Z</dcterms:created>
  <dcterms:modified xmlns:dcterms="http://purl.org/dc/terms/" xmlns:xsi="http://www.w3.org/2001/XMLSchema-instance" xsi:type="dcterms:W3CDTF">2026-02-11T06:17:44Z</dcterms:modified>
</cp:coreProperties>
</file>